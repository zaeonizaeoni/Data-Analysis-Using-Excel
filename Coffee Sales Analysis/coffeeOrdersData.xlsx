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Q\Desktop\Excel portifolo data\3rd\excel-project-coffee-sales-main\"/>
    </mc:Choice>
  </mc:AlternateContent>
  <xr:revisionPtr revIDLastSave="0" documentId="13_ncr:1_{4742443F-BABF-4FF0-88A3-7EB92C93B0EB}" xr6:coauthVersionLast="47" xr6:coauthVersionMax="47" xr10:uidLastSave="{00000000-0000-0000-0000-000000000000}"/>
  <bookViews>
    <workbookView xWindow="-108" yWindow="-108" windowWidth="23256" windowHeight="12576" tabRatio="817" xr2:uid="{00000000-000D-0000-FFFF-FFFF00000000}"/>
  </bookViews>
  <sheets>
    <sheet name="Dashboard" sheetId="22" r:id="rId1"/>
    <sheet name="TotalSales Chart" sheetId="18" r:id="rId2"/>
    <sheet name="Sales by Country" sheetId="19" r:id="rId3"/>
    <sheet name="Sales by 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31" i="17" a="1"/>
  <c r="N131" i="17" s="1"/>
  <c r="N226" i="17" a="1"/>
  <c r="N226" i="17" s="1"/>
  <c r="N428" i="17" a="1"/>
  <c r="N428" i="17" s="1"/>
  <c r="N451" i="17" a="1"/>
  <c r="N451" i="17" s="1"/>
  <c r="N542" i="17"/>
  <c r="N562" i="17" a="1"/>
  <c r="N562" i="17" s="1"/>
  <c r="N655" i="17"/>
  <c r="N757" i="17" a="1"/>
  <c r="N757" i="17" s="1"/>
  <c r="M4" i="17"/>
  <c r="M36" i="17"/>
  <c r="M68" i="17"/>
  <c r="M100" i="17"/>
  <c r="M132" i="17"/>
  <c r="M164" i="17"/>
  <c r="M196" i="17"/>
  <c r="M228" i="17"/>
  <c r="M260" i="17"/>
  <c r="M292" i="17"/>
  <c r="M324" i="17"/>
  <c r="M356" i="17"/>
  <c r="M388" i="17"/>
  <c r="M420" i="17"/>
  <c r="M452" i="17"/>
  <c r="M484" i="17"/>
  <c r="M516" i="17"/>
  <c r="M548" i="17"/>
  <c r="M580" i="17"/>
  <c r="M612" i="17"/>
  <c r="M644" i="17"/>
  <c r="M676" i="17"/>
  <c r="M708" i="17"/>
  <c r="M740" i="17"/>
  <c r="M772" i="17"/>
  <c r="M804" i="17"/>
  <c r="M836" i="17"/>
  <c r="M868" i="17"/>
  <c r="M900" i="17"/>
  <c r="M916" i="17"/>
  <c r="M926" i="17"/>
  <c r="M934" i="17"/>
  <c r="M942" i="17"/>
  <c r="M950" i="17"/>
  <c r="M958" i="17"/>
  <c r="M966" i="17"/>
  <c r="M974" i="17"/>
  <c r="M982" i="17"/>
  <c r="M990" i="17"/>
  <c r="M998" i="17"/>
  <c r="I3" i="17"/>
  <c r="N3" i="17" s="1" a="1"/>
  <c r="N3" i="17" s="1"/>
  <c r="J3" i="17"/>
  <c r="O3" i="17" s="1" a="1"/>
  <c r="O3" i="17" s="1"/>
  <c r="K3" i="17"/>
  <c r="L3" i="17"/>
  <c r="M3" i="17" s="1"/>
  <c r="I4" i="17"/>
  <c r="N4" i="17" s="1" a="1"/>
  <c r="N4" i="17" s="1"/>
  <c r="J4" i="17"/>
  <c r="O4" i="17" s="1" a="1"/>
  <c r="O4" i="17" s="1"/>
  <c r="K4" i="17"/>
  <c r="L4" i="17"/>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J131" i="17"/>
  <c r="O131" i="17" s="1" a="1"/>
  <c r="O131" i="17" s="1"/>
  <c r="K131" i="17"/>
  <c r="L131" i="17"/>
  <c r="M131" i="17" s="1"/>
  <c r="I132" i="17"/>
  <c r="N132" i="17" s="1" a="1"/>
  <c r="N132" i="17" s="1"/>
  <c r="J132" i="17"/>
  <c r="O132" i="17" s="1" a="1"/>
  <c r="O132" i="17" s="1"/>
  <c r="K132" i="17"/>
  <c r="L132" i="17"/>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J451" i="17"/>
  <c r="O451" i="17" s="1" a="1"/>
  <c r="O451" i="17" s="1"/>
  <c r="K451" i="17"/>
  <c r="L451" i="17"/>
  <c r="M451" i="17" s="1"/>
  <c r="I452" i="17"/>
  <c r="N452" i="17" s="1" a="1"/>
  <c r="N452" i="17" s="1"/>
  <c r="J452" i="17"/>
  <c r="O452" i="17" s="1" a="1"/>
  <c r="O452" i="17" s="1"/>
  <c r="K452" i="17"/>
  <c r="L452" i="17"/>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<sst xmlns="http://schemas.openxmlformats.org/spreadsheetml/2006/main" count="11128" uniqueCount="6221">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</sst>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6" formatCode="dd\-mmm\-yyyy"/>
    <numFmt numFmtId="167" formatCode="0.0\ &quot;kg&quot;"/>
    <numFmt numFmtId="168" formatCode="_([$$-409]* #,##0.00_);_([$$-409]* \(#,##0.00\);_([$$-409]* &quot;-&quot;??_);_(@_)"/>
  </numFmts>
  <fonts count="3" x14ac:knownFonts="1">
    <font>
      <sz val="11"/>
      <color theme="1"/>
      <name val="Calibri"/>
      <family val="2"/>
      <scheme val="minor"/>
    </font>
    <font>
      <sz val="11"/>
      <color indexed="8"/>
      <name val="Calibri"/>
      <family val="2"/>
    </font>
    <font>
      <sz val="11"/>
      <color theme="2"/>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7" fontId="0" fillId="0" borderId="0" xfId="0" applyNumberFormat="1"/>
    <xf numFmtId="5" fontId="0" fillId="0" borderId="0" xfId="0" applyNumberFormat="1"/>
    <xf numFmtId="0" fontId="2" fillId="2" borderId="0" xfId="0" applyFont="1" applyFill="1"/>
  </cellXfs>
  <cellStyles count="1">
    <cellStyle name="Normal" xfId="0" builtinId="0"/>
  </cellStyles>
  <dxfs count="16">
    <dxf>
      <font>
        <b/>
        <i val="0"/>
        <sz val="10"/>
        <name val="Calibri"/>
        <family val="2"/>
        <scheme val="minor"/>
      </font>
      <fill>
        <patternFill>
          <bgColor rgb="FF7030A0"/>
        </patternFill>
      </fill>
      <border>
        <left style="thin">
          <color auto="1"/>
        </left>
        <right style="thin">
          <color auto="1"/>
        </right>
        <top style="thin">
          <color auto="1"/>
        </top>
        <bottom style="thin">
          <color auto="1"/>
        </bottom>
      </border>
    </dxf>
    <dxf>
      <font>
        <b/>
        <i val="0"/>
        <sz val="10"/>
        <color theme="0"/>
        <name val="Calibri"/>
        <family val="2"/>
        <scheme val="minor"/>
      </font>
      <fill>
        <patternFill>
          <bgColor rgb="FF9C5ACE"/>
        </patternFill>
      </fill>
      <border>
        <left style="medium">
          <color auto="1"/>
        </left>
        <right style="medium">
          <color auto="1"/>
        </right>
        <top style="medium">
          <color auto="1"/>
        </top>
        <bottom style="medium">
          <color auto="1"/>
        </bottom>
      </border>
    </dxf>
    <dxf>
      <numFmt numFmtId="0" formatCode="General"/>
    </dxf>
    <dxf>
      <font>
        <b/>
        <i val="0"/>
        <sz val="12"/>
        <color theme="0"/>
        <name val="Calibri"/>
        <family val="2"/>
        <scheme val="minor"/>
      </font>
      <fill>
        <patternFill>
          <bgColor rgb="FF7030A0"/>
        </patternFill>
      </fill>
      <border diagonalUp="0" diagonalDown="0">
        <left style="thin">
          <color theme="0"/>
        </left>
        <right style="thin">
          <color theme="0"/>
        </right>
        <top style="thin">
          <color theme="0"/>
        </top>
        <bottom style="thin">
          <color theme="0"/>
        </bottom>
        <vertical/>
        <horizontal/>
      </border>
    </dxf>
    <dxf>
      <font>
        <b/>
        <i val="0"/>
        <sz val="12"/>
        <color rgb="FF7030A0"/>
        <name val="Calibri"/>
        <family val="2"/>
        <scheme val="minor"/>
      </font>
      <fill>
        <patternFill patternType="solid">
          <fgColor theme="0"/>
          <bgColor rgb="FF8A3CC4"/>
        </patternFill>
      </fill>
      <border>
        <left style="thin">
          <color rgb="FF7030A0"/>
        </left>
        <right style="thin">
          <color rgb="FF7030A0"/>
        </right>
        <top style="thin">
          <color rgb="FF7030A0"/>
        </top>
        <bottom style="thin">
          <color rgb="FF7030A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our " pivot="0" table="0" count="9" xr9:uid="{42F018BF-2474-4AAE-95CA-61E6137A952A}">
      <tableStyleElement type="wholeTable" dxfId="4"/>
      <tableStyleElement type="headerRow" dxfId="3"/>
    </tableStyle>
    <tableStyle name="Slicer Style 1" pivot="0" table="0" count="6" xr9:uid="{4CDC5C9E-C68B-4A53-9B06-EE048D3994F7}">
      <tableStyleElement type="wholeTable" dxfId="1"/>
      <tableStyleElement type="headerRow" dxfId="0"/>
    </tableStyle>
  </tableStyles>
  <colors>
    <mruColors>
      <color rgb="FFB17ED8"/>
      <color rgb="FFA66BD3"/>
      <color rgb="FFBD92DE"/>
      <color rgb="FFA365D1"/>
      <color rgb="FF9C5ACE"/>
      <color rgb="FFB2B2B2"/>
      <color rgb="FF8A3CC4"/>
    </mruColors>
  </colors>
  <extLst>
    <ext xmlns:x14="http://schemas.microsoft.com/office/spreadsheetml/2009/9/main" uri="{46F421CA-312F-682f-3DD2-61675219B42D}">
      <x14:dxfs count="5">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A0A4C193-F2C1-4fcb-8827-314CF55A85BB}">
      <x15:dxfs count="7">
        <dxf>
          <fill>
            <patternFill>
              <bgColor rgb="FFFF0000"/>
            </patternFill>
          </fill>
        </dxf>
        <dxf>
          <fill>
            <patternFill patternType="solid">
              <fgColor theme="0" tint="-0.14990691854609822"/>
              <bgColor rgb="FFB2B2B2"/>
            </patternFill>
          </fill>
        </dxf>
        <dxf>
          <fill>
            <patternFill patternType="solid">
              <fgColor theme="0"/>
              <bgColor rgb="FF7030A0"/>
            </patternFill>
          </fill>
        </dxf>
        <dxf>
          <font>
            <sz val="9"/>
            <color theme="0"/>
            <name val="Calibri"/>
            <family val="2"/>
            <scheme val="minor"/>
          </font>
        </dxf>
        <dxf>
          <font>
            <sz val="9"/>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our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 Chart!TotalSales</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Chart 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 Chart'!$C$3:$C$4</c:f>
              <c:strCache>
                <c:ptCount val="1"/>
                <c:pt idx="0">
                  <c:v>Arabica</c:v>
                </c:pt>
              </c:strCache>
            </c:strRef>
          </c:tx>
          <c:spPr>
            <a:ln w="28575" cap="rnd">
              <a:solidFill>
                <a:srgbClr val="FF0000"/>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164-4B67-A1E9-8DCCD1729994}"/>
            </c:ext>
          </c:extLst>
        </c:ser>
        <c:ser>
          <c:idx val="1"/>
          <c:order val="1"/>
          <c:tx>
            <c:strRef>
              <c:f>'TotalSales Chart'!$D$3:$D$4</c:f>
              <c:strCache>
                <c:ptCount val="1"/>
                <c:pt idx="0">
                  <c:v>Excelsa</c:v>
                </c:pt>
              </c:strCache>
            </c:strRef>
          </c:tx>
          <c:spPr>
            <a:ln w="28575" cap="rnd">
              <a:solidFill>
                <a:schemeClr val="accent6"/>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0164-4B67-A1E9-8DCCD1729994}"/>
            </c:ext>
          </c:extLst>
        </c:ser>
        <c:ser>
          <c:idx val="2"/>
          <c:order val="2"/>
          <c:tx>
            <c:strRef>
              <c:f>'TotalSales Chart'!$E$3:$E$4</c:f>
              <c:strCache>
                <c:ptCount val="1"/>
                <c:pt idx="0">
                  <c:v>Liberica</c:v>
                </c:pt>
              </c:strCache>
            </c:strRef>
          </c:tx>
          <c:spPr>
            <a:ln w="28575" cap="rnd">
              <a:solidFill>
                <a:schemeClr val="accent5"/>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0164-4B67-A1E9-8DCCD1729994}"/>
            </c:ext>
          </c:extLst>
        </c:ser>
        <c:ser>
          <c:idx val="3"/>
          <c:order val="3"/>
          <c:tx>
            <c:strRef>
              <c:f>'TotalSales Chart'!$F$3:$F$4</c:f>
              <c:strCache>
                <c:ptCount val="1"/>
                <c:pt idx="0">
                  <c:v>Robusta</c:v>
                </c:pt>
              </c:strCache>
            </c:strRef>
          </c:tx>
          <c:spPr>
            <a:ln w="28575" cap="rnd">
              <a:solidFill>
                <a:schemeClr val="accent4"/>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0164-4B67-A1E9-8DCCD1729994}"/>
            </c:ext>
          </c:extLst>
        </c:ser>
        <c:dLbls>
          <c:showLegendKey val="0"/>
          <c:showVal val="0"/>
          <c:showCatName val="0"/>
          <c:showSerName val="0"/>
          <c:showPercent val="0"/>
          <c:showBubbleSize val="0"/>
        </c:dLbls>
        <c:smooth val="0"/>
        <c:axId val="1758862480"/>
        <c:axId val="1758876400"/>
      </c:lineChart>
      <c:catAx>
        <c:axId val="1758862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876400"/>
        <c:crosses val="autoZero"/>
        <c:auto val="1"/>
        <c:lblAlgn val="ctr"/>
        <c:lblOffset val="100"/>
        <c:noMultiLvlLbl val="0"/>
      </c:catAx>
      <c:valAx>
        <c:axId val="1758876400"/>
        <c:scaling>
          <c:orientation val="minMax"/>
        </c:scaling>
        <c:delete val="0"/>
        <c:axPos val="l"/>
        <c:majorGridlines>
          <c:spPr>
            <a:ln w="6350" cap="flat" cmpd="sng" algn="ctr">
              <a:solidFill>
                <a:schemeClr val="tx1">
                  <a:lumMod val="15000"/>
                  <a:lumOff val="85000"/>
                  <a:alpha val="8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86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alpha val="85000"/>
      </a:srgb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[coffeeOrdersData.xlsx]Sales by Country!TotalSales</c:name>
    <c:fmtId val="18"/>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7030A0"/>
            </a:solidFill>
            <a:ln w="6350">
              <a:solidFill>
                <a:schemeClr val="bg1">
                  <a:alpha val="99000"/>
                </a:schemeClr>
              </a:solidFill>
            </a:ln>
            <a:effectLst/>
          </c:spPr>
          <c:invertIfNegative val="1"/>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"$"#,##0_);\("$"#,##0\)</c:formatCode>
                <c:ptCount val="3"/>
                <c:pt idx="0">
                  <c:v>2798.5050000000001</c:v>
                </c:pt>
                <c:pt idx="1">
                  <c:v>6696.8649999999989</c:v>
                </c:pt>
                <c:pt idx="2">
                  <c:v>35638.88499999998</c:v>
                </c:pt>
              </c:numCache>
            </c:numRef>
          </c:val>
          <c:extLst>
            <c:ext xmlns:c14="http://schemas.microsoft.com/office/drawing/2007/8/2/chart" uri="{6F2FDCE9-48DA-4B69-8628-5D25D57E5C99}">
              <c14:invertSolidFillFmt>
                <c14:spPr xmlns:c14="http://schemas.microsoft.com/office/drawing/2007/8/2/chart">
                  <a:solidFill>
                    <a:srgbClr val="FFFFFF"/>
                  </a:solidFill>
                  <a:ln w="6350">
                    <a:solidFill>
                      <a:schemeClr val="bg1">
                        <a:alpha val="99000"/>
                      </a:schemeClr>
                    </a:solidFill>
                  </a:ln>
                  <a:effectLst/>
                </c14:spPr>
              </c14:invertSolidFillFmt>
            </c:ext>
            <c:ext xmlns:c16="http://schemas.microsoft.com/office/drawing/2014/chart" uri="{C3380CC4-5D6E-409C-BE32-E72D297353CC}">
              <c16:uniqueId val="{00000000-6115-423E-9BA1-BECE876969CA}"/>
            </c:ext>
          </c:extLst>
        </c:ser>
        <c:dLbls>
          <c:dLblPos val="outEnd"/>
          <c:showLegendKey val="0"/>
          <c:showVal val="1"/>
          <c:showCatName val="0"/>
          <c:showSerName val="0"/>
          <c:showPercent val="0"/>
          <c:showBubbleSize val="0"/>
        </c:dLbls>
        <c:gapWidth val="182"/>
        <c:axId val="200975744"/>
        <c:axId val="200964704"/>
      </c:barChart>
      <c:catAx>
        <c:axId val="2009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64704"/>
        <c:crosses val="autoZero"/>
        <c:auto val="1"/>
        <c:lblAlgn val="ctr"/>
        <c:lblOffset val="100"/>
        <c:noMultiLvlLbl val="0"/>
      </c:catAx>
      <c:valAx>
        <c:axId val="200964704"/>
        <c:scaling>
          <c:orientation val="minMax"/>
        </c:scaling>
        <c:delete val="0"/>
        <c:axPos val="b"/>
        <c:majorGridlines>
          <c:spPr>
            <a:ln w="1270" cap="flat" cmpd="sng" algn="ctr">
              <a:solidFill>
                <a:schemeClr val="bg1">
                  <a:alpha val="94000"/>
                </a:schemeClr>
              </a:solidFill>
              <a:round/>
            </a:ln>
            <a:effectLst/>
          </c:spPr>
        </c:majorGridlines>
        <c:numFmt formatCode="&quot;$&quot;#,##0_);\(&quot;$&quot;#,##0\)" sourceLinked="1"/>
        <c:majorTickMark val="cross"/>
        <c:minorTickMark val="none"/>
        <c:tickLblPos val="nextTo"/>
        <c:spPr>
          <a:noFill/>
          <a:ln w="3175">
            <a:solidFill>
              <a:schemeClr val="bg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757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66BD3"/>
    </a:solidFill>
    <a:ln w="9525" cap="flat" cmpd="sng" algn="ctr">
      <a:solidFill>
        <a:srgbClr val="7030A0"/>
      </a:solidFill>
      <a:round/>
    </a:ln>
    <a:effectLst/>
  </c:spPr>
  <c:txPr>
    <a:bodyPr/>
    <a:lstStyle/>
    <a:p>
      <a:pPr>
        <a:defRPr sz="8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[coffeeOrdersData.xlsx]Sales by Top 5 Customers!TotalSales</c:name>
    <c:fmtId val="19"/>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Top 5 Customers'!$B$3</c:f>
              <c:strCache>
                <c:ptCount val="1"/>
                <c:pt idx="0">
                  <c:v>Total</c:v>
                </c:pt>
              </c:strCache>
            </c:strRef>
          </c:tx>
          <c:spPr>
            <a:solidFill>
              <a:srgbClr val="7030A0"/>
            </a:solidFill>
            <a:ln w="6350">
              <a:solidFill>
                <a:schemeClr val="bg1">
                  <a:alpha val="99000"/>
                </a:schemeClr>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Top 5 Customers'!$A$4:$A$8</c:f>
              <c:strCache>
                <c:ptCount val="5"/>
                <c:pt idx="0">
                  <c:v>Don Flintiff</c:v>
                </c:pt>
                <c:pt idx="1">
                  <c:v>Nealson Cuttler</c:v>
                </c:pt>
                <c:pt idx="2">
                  <c:v>Terri Farra</c:v>
                </c:pt>
                <c:pt idx="3">
                  <c:v>Brenn Dundredge</c:v>
                </c:pt>
                <c:pt idx="4">
                  <c:v>Allis Wilmore</c:v>
                </c:pt>
              </c:strCache>
            </c:strRef>
          </c:cat>
          <c:val>
            <c:numRef>
              <c:f>'Sales by Top 5 Customers'!$B$4:$B$8</c:f>
              <c:numCache>
                <c:formatCode>"$"#,##0_);\("$"#,##0\)</c:formatCode>
                <c:ptCount val="5"/>
                <c:pt idx="0">
                  <c:v>278.01</c:v>
                </c:pt>
                <c:pt idx="1">
                  <c:v>281.67499999999995</c:v>
                </c:pt>
                <c:pt idx="2">
                  <c:v>289.11</c:v>
                </c:pt>
                <c:pt idx="3">
                  <c:v>307.04499999999996</c:v>
                </c:pt>
                <c:pt idx="4">
                  <c:v>317.06999999999994</c:v>
                </c:pt>
              </c:numCache>
            </c:numRef>
          </c:val>
          <c:extLst>
            <c:ext xmlns:c14="http://schemas.microsoft.com/office/drawing/2007/8/2/chart" uri="{6F2FDCE9-48DA-4B69-8628-5D25D57E5C99}">
              <c14:invertSolidFillFmt>
                <c14:spPr xmlns:c14="http://schemas.microsoft.com/office/drawing/2007/8/2/chart">
                  <a:solidFill>
                    <a:srgbClr val="FFFFFF"/>
                  </a:solidFill>
                  <a:ln w="6350">
                    <a:solidFill>
                      <a:schemeClr val="bg1">
                        <a:alpha val="99000"/>
                      </a:schemeClr>
                    </a:solidFill>
                  </a:ln>
                  <a:effectLst/>
                </c14:spPr>
              </c14:invertSolidFillFmt>
            </c:ext>
            <c:ext xmlns:c16="http://schemas.microsoft.com/office/drawing/2014/chart" uri="{C3380CC4-5D6E-409C-BE32-E72D297353CC}">
              <c16:uniqueId val="{00000000-832F-4110-8B95-80214BDB6162}"/>
            </c:ext>
          </c:extLst>
        </c:ser>
        <c:dLbls>
          <c:dLblPos val="outEnd"/>
          <c:showLegendKey val="0"/>
          <c:showVal val="1"/>
          <c:showCatName val="0"/>
          <c:showSerName val="0"/>
          <c:showPercent val="0"/>
          <c:showBubbleSize val="0"/>
        </c:dLbls>
        <c:gapWidth val="182"/>
        <c:axId val="200975744"/>
        <c:axId val="200964704"/>
      </c:barChart>
      <c:catAx>
        <c:axId val="2009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64704"/>
        <c:crosses val="autoZero"/>
        <c:auto val="1"/>
        <c:lblAlgn val="ctr"/>
        <c:lblOffset val="100"/>
        <c:noMultiLvlLbl val="0"/>
      </c:catAx>
      <c:valAx>
        <c:axId val="200964704"/>
        <c:scaling>
          <c:orientation val="minMax"/>
        </c:scaling>
        <c:delete val="0"/>
        <c:axPos val="b"/>
        <c:majorGridlines>
          <c:spPr>
            <a:ln w="1270" cap="flat" cmpd="sng" algn="ctr">
              <a:solidFill>
                <a:schemeClr val="bg1">
                  <a:alpha val="94000"/>
                </a:schemeClr>
              </a:solidFill>
              <a:round/>
            </a:ln>
            <a:effectLst/>
          </c:spPr>
        </c:majorGridlines>
        <c:numFmt formatCode="&quot;$&quot;#,##0_);\(&quot;$&quot;#,##0\)" sourceLinked="1"/>
        <c:majorTickMark val="cross"/>
        <c:minorTickMark val="none"/>
        <c:tickLblPos val="nextTo"/>
        <c:spPr>
          <a:noFill/>
          <a:ln w="3175">
            <a:solidFill>
              <a:schemeClr val="bg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757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66BD3"/>
    </a:solidFill>
    <a:ln w="9525" cap="flat" cmpd="sng" algn="ctr">
      <a:solidFill>
        <a:srgbClr val="7030A0"/>
      </a:solidFill>
      <a:round/>
    </a:ln>
    <a:effectLst/>
  </c:spPr>
  <c:txPr>
    <a:bodyPr/>
    <a:lstStyle/>
    <a:p>
      <a:pPr>
        <a:defRPr sz="8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 Chart!TotalSales</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Chart 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 Chart'!$C$3:$C$4</c:f>
              <c:strCache>
                <c:ptCount val="1"/>
                <c:pt idx="0">
                  <c:v>Arabica</c:v>
                </c:pt>
              </c:strCache>
            </c:strRef>
          </c:tx>
          <c:spPr>
            <a:ln w="28575" cap="rnd">
              <a:solidFill>
                <a:srgbClr val="FF0000"/>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5B81-47CB-8BE3-2D343E84E964}"/>
            </c:ext>
          </c:extLst>
        </c:ser>
        <c:ser>
          <c:idx val="1"/>
          <c:order val="1"/>
          <c:tx>
            <c:strRef>
              <c:f>'TotalSales Chart'!$D$3:$D$4</c:f>
              <c:strCache>
                <c:ptCount val="1"/>
                <c:pt idx="0">
                  <c:v>Excelsa</c:v>
                </c:pt>
              </c:strCache>
            </c:strRef>
          </c:tx>
          <c:spPr>
            <a:ln w="28575" cap="rnd">
              <a:solidFill>
                <a:schemeClr val="accent6"/>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C-5B81-47CB-8BE3-2D343E84E964}"/>
            </c:ext>
          </c:extLst>
        </c:ser>
        <c:ser>
          <c:idx val="2"/>
          <c:order val="2"/>
          <c:tx>
            <c:strRef>
              <c:f>'TotalSales Chart'!$E$3:$E$4</c:f>
              <c:strCache>
                <c:ptCount val="1"/>
                <c:pt idx="0">
                  <c:v>Liberica</c:v>
                </c:pt>
              </c:strCache>
            </c:strRef>
          </c:tx>
          <c:spPr>
            <a:ln w="28575" cap="rnd">
              <a:solidFill>
                <a:schemeClr val="accent5"/>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5B81-47CB-8BE3-2D343E84E964}"/>
            </c:ext>
          </c:extLst>
        </c:ser>
        <c:ser>
          <c:idx val="3"/>
          <c:order val="3"/>
          <c:tx>
            <c:strRef>
              <c:f>'TotalSales Chart'!$F$3:$F$4</c:f>
              <c:strCache>
                <c:ptCount val="1"/>
                <c:pt idx="0">
                  <c:v>Robusta</c:v>
                </c:pt>
              </c:strCache>
            </c:strRef>
          </c:tx>
          <c:spPr>
            <a:ln w="28575" cap="rnd">
              <a:solidFill>
                <a:schemeClr val="accent4"/>
              </a:solidFill>
              <a:round/>
            </a:ln>
            <a:effectLst/>
          </c:spPr>
          <c:marker>
            <c:symbol val="none"/>
          </c:marker>
          <c:cat>
            <c:multiLvlStrRef>
              <c:f>'TotalSales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 Chart'!$F$5:$F$48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5B81-47CB-8BE3-2D343E84E964}"/>
            </c:ext>
          </c:extLst>
        </c:ser>
        <c:dLbls>
          <c:showLegendKey val="0"/>
          <c:showVal val="0"/>
          <c:showCatName val="0"/>
          <c:showSerName val="0"/>
          <c:showPercent val="0"/>
          <c:showBubbleSize val="0"/>
        </c:dLbls>
        <c:smooth val="0"/>
        <c:axId val="1758862480"/>
        <c:axId val="1758876400"/>
      </c:lineChart>
      <c:catAx>
        <c:axId val="1758862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876400"/>
        <c:crosses val="autoZero"/>
        <c:auto val="1"/>
        <c:lblAlgn val="ctr"/>
        <c:lblOffset val="100"/>
        <c:noMultiLvlLbl val="0"/>
      </c:catAx>
      <c:valAx>
        <c:axId val="1758876400"/>
        <c:scaling>
          <c:orientation val="minMax"/>
        </c:scaling>
        <c:delete val="0"/>
        <c:axPos val="l"/>
        <c:majorGridlines>
          <c:spPr>
            <a:ln w="6350" cap="flat" cmpd="sng" algn="ctr">
              <a:solidFill>
                <a:schemeClr val="tx1">
                  <a:lumMod val="15000"/>
                  <a:lumOff val="85000"/>
                  <a:alpha val="8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886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alpha val="85000"/>
      </a:srgb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[coffeeOrdersData.xlsx]Sales by Country!TotalSales</c:name>
    <c:fmtId val="11"/>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7030A0"/>
            </a:solidFill>
            <a:ln w="6350">
              <a:solidFill>
                <a:schemeClr val="bg1">
                  <a:alpha val="99000"/>
                </a:schemeClr>
              </a:solidFill>
            </a:ln>
            <a:effectLst/>
          </c:spPr>
          <c:invertIfNegative val="1"/>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"$"#,##0_);\("$"#,##0\)</c:formatCode>
                <c:ptCount val="3"/>
                <c:pt idx="0">
                  <c:v>2798.5050000000001</c:v>
                </c:pt>
                <c:pt idx="1">
                  <c:v>6696.8649999999989</c:v>
                </c:pt>
                <c:pt idx="2">
                  <c:v>35638.88499999998</c:v>
                </c:pt>
              </c:numCache>
            </c:numRef>
          </c:val>
          <c:extLst>
            <c:ext xmlns:c14="http://schemas.microsoft.com/office/drawing/2007/8/2/chart" uri="{6F2FDCE9-48DA-4B69-8628-5D25D57E5C99}">
              <c14:invertSolidFillFmt>
                <c14:spPr xmlns:c14="http://schemas.microsoft.com/office/drawing/2007/8/2/chart">
                  <a:solidFill>
                    <a:srgbClr val="FFFFFF"/>
                  </a:solidFill>
                  <a:ln w="6350">
                    <a:solidFill>
                      <a:schemeClr val="bg1">
                        <a:alpha val="99000"/>
                      </a:schemeClr>
                    </a:solidFill>
                  </a:ln>
                  <a:effectLst/>
                </c14:spPr>
              </c14:invertSolidFillFmt>
            </c:ext>
            <c:ext xmlns:c16="http://schemas.microsoft.com/office/drawing/2014/chart" uri="{C3380CC4-5D6E-409C-BE32-E72D297353CC}">
              <c16:uniqueId val="{00000000-1FBA-406D-8F34-FC47EE649130}"/>
            </c:ext>
          </c:extLst>
        </c:ser>
        <c:dLbls>
          <c:dLblPos val="outEnd"/>
          <c:showLegendKey val="0"/>
          <c:showVal val="1"/>
          <c:showCatName val="0"/>
          <c:showSerName val="0"/>
          <c:showPercent val="0"/>
          <c:showBubbleSize val="0"/>
        </c:dLbls>
        <c:gapWidth val="182"/>
        <c:axId val="200975744"/>
        <c:axId val="200964704"/>
      </c:barChart>
      <c:catAx>
        <c:axId val="2009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64704"/>
        <c:crosses val="autoZero"/>
        <c:auto val="1"/>
        <c:lblAlgn val="ctr"/>
        <c:lblOffset val="100"/>
        <c:noMultiLvlLbl val="0"/>
      </c:catAx>
      <c:valAx>
        <c:axId val="200964704"/>
        <c:scaling>
          <c:orientation val="minMax"/>
        </c:scaling>
        <c:delete val="0"/>
        <c:axPos val="b"/>
        <c:majorGridlines>
          <c:spPr>
            <a:ln w="1270" cap="flat" cmpd="sng" algn="ctr">
              <a:solidFill>
                <a:schemeClr val="bg1">
                  <a:alpha val="94000"/>
                </a:schemeClr>
              </a:solidFill>
              <a:round/>
            </a:ln>
            <a:effectLst/>
          </c:spPr>
        </c:majorGridlines>
        <c:numFmt formatCode="&quot;$&quot;#,##0_);\(&quot;$&quot;#,##0\)" sourceLinked="1"/>
        <c:majorTickMark val="cross"/>
        <c:minorTickMark val="none"/>
        <c:tickLblPos val="nextTo"/>
        <c:spPr>
          <a:noFill/>
          <a:ln w="3175">
            <a:solidFill>
              <a:schemeClr val="bg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757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66BD3"/>
    </a:solidFill>
    <a:ln w="9525" cap="flat" cmpd="sng" algn="ctr">
      <a:solidFill>
        <a:srgbClr val="7030A0"/>
      </a:solidFill>
      <a:round/>
    </a:ln>
    <a:effectLst/>
  </c:spPr>
  <c:txPr>
    <a:bodyPr/>
    <a:lstStyle/>
    <a:p>
      <a:pPr>
        <a:defRPr sz="8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[coffeeOrdersData.xlsx]Sales by Top 5 Customers!TotalSales</c:name>
    <c:fmtId val="16"/>
  </c:pivotSource>
  <c:chart>
    <c:title>
      <c:tx>
        <c:rich>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w="6350">
            <a:solidFill>
              <a:schemeClr val="bg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Top 5 Customers'!$B$3</c:f>
              <c:strCache>
                <c:ptCount val="1"/>
                <c:pt idx="0">
                  <c:v>Total</c:v>
                </c:pt>
              </c:strCache>
            </c:strRef>
          </c:tx>
          <c:spPr>
            <a:solidFill>
              <a:srgbClr val="7030A0"/>
            </a:solidFill>
            <a:ln w="6350">
              <a:solidFill>
                <a:schemeClr val="bg1">
                  <a:alpha val="99000"/>
                </a:schemeClr>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Top 5 Customers'!$A$4:$A$8</c:f>
              <c:strCache>
                <c:ptCount val="5"/>
                <c:pt idx="0">
                  <c:v>Don Flintiff</c:v>
                </c:pt>
                <c:pt idx="1">
                  <c:v>Nealson Cuttler</c:v>
                </c:pt>
                <c:pt idx="2">
                  <c:v>Terri Farra</c:v>
                </c:pt>
                <c:pt idx="3">
                  <c:v>Brenn Dundredge</c:v>
                </c:pt>
                <c:pt idx="4">
                  <c:v>Allis Wilmore</c:v>
                </c:pt>
              </c:strCache>
            </c:strRef>
          </c:cat>
          <c:val>
            <c:numRef>
              <c:f>'Sales by Top 5 Customers'!$B$4:$B$8</c:f>
              <c:numCache>
                <c:formatCode>"$"#,##0_);\("$"#,##0\)</c:formatCode>
                <c:ptCount val="5"/>
                <c:pt idx="0">
                  <c:v>278.01</c:v>
                </c:pt>
                <c:pt idx="1">
                  <c:v>281.67499999999995</c:v>
                </c:pt>
                <c:pt idx="2">
                  <c:v>289.11</c:v>
                </c:pt>
                <c:pt idx="3">
                  <c:v>307.04499999999996</c:v>
                </c:pt>
                <c:pt idx="4">
                  <c:v>317.06999999999994</c:v>
                </c:pt>
              </c:numCache>
            </c:numRef>
          </c:val>
          <c:extLst>
            <c:ext xmlns:c14="http://schemas.microsoft.com/office/drawing/2007/8/2/chart" uri="{6F2FDCE9-48DA-4B69-8628-5D25D57E5C99}">
              <c14:invertSolidFillFmt>
                <c14:spPr xmlns:c14="http://schemas.microsoft.com/office/drawing/2007/8/2/chart">
                  <a:solidFill>
                    <a:srgbClr val="FFFFFF"/>
                  </a:solidFill>
                  <a:ln w="6350">
                    <a:solidFill>
                      <a:schemeClr val="bg1">
                        <a:alpha val="99000"/>
                      </a:schemeClr>
                    </a:solidFill>
                  </a:ln>
                  <a:effectLst/>
                </c14:spPr>
              </c14:invertSolidFillFmt>
            </c:ext>
            <c:ext xmlns:c16="http://schemas.microsoft.com/office/drawing/2014/chart" uri="{C3380CC4-5D6E-409C-BE32-E72D297353CC}">
              <c16:uniqueId val="{00000000-CA8C-4A53-978A-F3DBD1493CA3}"/>
            </c:ext>
          </c:extLst>
        </c:ser>
        <c:dLbls>
          <c:dLblPos val="outEnd"/>
          <c:showLegendKey val="0"/>
          <c:showVal val="1"/>
          <c:showCatName val="0"/>
          <c:showSerName val="0"/>
          <c:showPercent val="0"/>
          <c:showBubbleSize val="0"/>
        </c:dLbls>
        <c:gapWidth val="182"/>
        <c:axId val="200975744"/>
        <c:axId val="200964704"/>
      </c:barChart>
      <c:catAx>
        <c:axId val="2009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64704"/>
        <c:crosses val="autoZero"/>
        <c:auto val="1"/>
        <c:lblAlgn val="ctr"/>
        <c:lblOffset val="100"/>
        <c:noMultiLvlLbl val="0"/>
      </c:catAx>
      <c:valAx>
        <c:axId val="200964704"/>
        <c:scaling>
          <c:orientation val="minMax"/>
        </c:scaling>
        <c:delete val="0"/>
        <c:axPos val="b"/>
        <c:majorGridlines>
          <c:spPr>
            <a:ln w="1270" cap="flat" cmpd="sng" algn="ctr">
              <a:solidFill>
                <a:schemeClr val="bg1">
                  <a:alpha val="94000"/>
                </a:schemeClr>
              </a:solidFill>
              <a:round/>
            </a:ln>
            <a:effectLst/>
          </c:spPr>
        </c:majorGridlines>
        <c:numFmt formatCode="&quot;$&quot;#,##0_);\(&quot;$&quot;#,##0\)" sourceLinked="1"/>
        <c:majorTickMark val="cross"/>
        <c:minorTickMark val="none"/>
        <c:tickLblPos val="nextTo"/>
        <c:spPr>
          <a:noFill/>
          <a:ln w="3175">
            <a:solidFill>
              <a:schemeClr val="bg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09757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66BD3"/>
    </a:solidFill>
    <a:ln w="9525" cap="flat" cmpd="sng" algn="ctr">
      <a:solidFill>
        <a:srgbClr val="7030A0"/>
      </a:solidFill>
      <a:round/>
    </a:ln>
    <a:effectLst/>
  </c:spPr>
  <c:txPr>
    <a:bodyPr/>
    <a:lstStyle/>
    <a:p>
      <a:pPr>
        <a:defRPr sz="8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22860</xdr:rowOff>
    </xdr:from>
    <xdr:to>
      <xdr:col>19</xdr:col>
      <xdr:colOff>0</xdr:colOff>
      <xdr:row>6</xdr:row>
      <xdr:rowOff>152400</xdr:rowOff>
    </xdr:to>
    <xdr:sp macro="" textlink="">
      <xdr:nvSpPr>
        <xdr:cNvPr id="2" name="Rectangle 1">
          <a:extLst>
            <a:ext uri="{FF2B5EF4-FFF2-40B4-BE49-F238E27FC236}">
              <a16:creationId xmlns:a16="http://schemas.microsoft.com/office/drawing/2014/main" id="{2AD2BCC2-A341-6461-A6C2-C1D853D2B576}"/>
            </a:ext>
          </a:extLst>
        </xdr:cNvPr>
        <xdr:cNvSpPr/>
      </xdr:nvSpPr>
      <xdr:spPr>
        <a:xfrm>
          <a:off x="133126" y="85613"/>
          <a:ext cx="10965180" cy="1026011"/>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0</xdr:colOff>
      <xdr:row>17</xdr:row>
      <xdr:rowOff>27432</xdr:rowOff>
    </xdr:from>
    <xdr:to>
      <xdr:col>11</xdr:col>
      <xdr:colOff>434340</xdr:colOff>
      <xdr:row>38</xdr:row>
      <xdr:rowOff>0</xdr:rowOff>
    </xdr:to>
    <xdr:graphicFrame macro="">
      <xdr:nvGraphicFramePr>
        <xdr:cNvPr id="3" name="Chart 2">
          <a:extLst>
            <a:ext uri="{FF2B5EF4-FFF2-40B4-BE49-F238E27FC236}">
              <a16:creationId xmlns:a16="http://schemas.microsoft.com/office/drawing/2014/main" id="{F35EA793-C9A8-49ED-B5AC-E14ADB1F2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7</xdr:row>
      <xdr:rowOff>0</xdr:rowOff>
    </xdr:from>
    <xdr:to>
      <xdr:col>13</xdr:col>
      <xdr:colOff>0</xdr:colOff>
      <xdr:row>17</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44C92AF1-F8EE-4396-8FC5-5939208A967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1920" y="1158240"/>
              <a:ext cx="7315200" cy="1828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45720</xdr:colOff>
      <xdr:row>11</xdr:row>
      <xdr:rowOff>30480</xdr:rowOff>
    </xdr:from>
    <xdr:to>
      <xdr:col>15</xdr:col>
      <xdr:colOff>594360</xdr:colOff>
      <xdr:row>17</xdr:row>
      <xdr:rowOff>7619</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4091EB58-8BDB-4A7C-805D-01672FC2771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7482840" y="1920240"/>
              <a:ext cx="1767840" cy="1074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29718</xdr:rowOff>
    </xdr:from>
    <xdr:to>
      <xdr:col>19</xdr:col>
      <xdr:colOff>0</xdr:colOff>
      <xdr:row>17</xdr:row>
      <xdr:rowOff>0</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B18D6FAF-5657-4CFA-A2C5-3F48E58AA5E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265920" y="1919478"/>
              <a:ext cx="1828800" cy="1067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xdr:colOff>
      <xdr:row>7</xdr:row>
      <xdr:rowOff>0</xdr:rowOff>
    </xdr:from>
    <xdr:to>
      <xdr:col>19</xdr:col>
      <xdr:colOff>0</xdr:colOff>
      <xdr:row>11</xdr:row>
      <xdr:rowOff>0</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77DD7713-6C4B-4C0B-BA8E-739F2459236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7482840" y="1158240"/>
              <a:ext cx="36118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457200</xdr:colOff>
      <xdr:row>17</xdr:row>
      <xdr:rowOff>30480</xdr:rowOff>
    </xdr:from>
    <xdr:to>
      <xdr:col>19</xdr:col>
      <xdr:colOff>0</xdr:colOff>
      <xdr:row>28</xdr:row>
      <xdr:rowOff>0</xdr:rowOff>
    </xdr:to>
    <xdr:graphicFrame macro="">
      <xdr:nvGraphicFramePr>
        <xdr:cNvPr id="8" name="Chart 7">
          <a:extLst>
            <a:ext uri="{FF2B5EF4-FFF2-40B4-BE49-F238E27FC236}">
              <a16:creationId xmlns:a16="http://schemas.microsoft.com/office/drawing/2014/main" id="{674189E6-2975-4FB6-AC72-A17CCDBD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457200</xdr:colOff>
      <xdr:row>28</xdr:row>
      <xdr:rowOff>30480</xdr:rowOff>
    </xdr:from>
    <xdr:to>
      <xdr:col>19</xdr:col>
      <xdr:colOff>0</xdr:colOff>
      <xdr:row>38</xdr:row>
      <xdr:rowOff>0</xdr:rowOff>
    </xdr:to>
    <xdr:graphicFrame macro="">
      <xdr:nvGraphicFramePr>
        <xdr:cNvPr id="9" name="Chart 8">
          <a:extLst>
            <a:ext uri="{FF2B5EF4-FFF2-40B4-BE49-F238E27FC236}">
              <a16:creationId xmlns:a16="http://schemas.microsoft.com/office/drawing/2014/main" id="{17E56CDD-B802-49CA-AD00-6C2ED37B5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2</xdr:row>
      <xdr:rowOff>160782</xdr:rowOff>
    </xdr:from>
    <xdr:to>
      <xdr:col>16</xdr:col>
      <xdr:colOff>472440</xdr:colOff>
      <xdr:row>21</xdr:row>
      <xdr:rowOff>133350</xdr:rowOff>
    </xdr:to>
    <xdr:graphicFrame macro="">
      <xdr:nvGraphicFramePr>
        <xdr:cNvPr id="2" name="Chart 1">
          <a:extLst>
            <a:ext uri="{FF2B5EF4-FFF2-40B4-BE49-F238E27FC236}">
              <a16:creationId xmlns:a16="http://schemas.microsoft.com/office/drawing/2014/main" id="{1276D7CE-DB3C-675D-7990-F221EA83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30480</xdr:colOff>
      <xdr:row>22</xdr:row>
      <xdr:rowOff>0</xdr:rowOff>
    </xdr:from>
    <xdr:to>
      <xdr:col>16</xdr:col>
      <xdr:colOff>472440</xdr:colOff>
      <xdr:row>29</xdr:row>
      <xdr:rowOff>91440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8F18964F-DE22-2BB9-04BC-A156FC257CA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51120" y="4023360"/>
              <a:ext cx="65379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373380</xdr:colOff>
      <xdr:row>13</xdr:row>
      <xdr:rowOff>76201</xdr:rowOff>
    </xdr:from>
    <xdr:to>
      <xdr:col>20</xdr:col>
      <xdr:colOff>373380</xdr:colOff>
      <xdr:row>18</xdr:row>
      <xdr:rowOff>68580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A74C2DF6-2A73-00F3-E903-88A269195B2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199620" y="2453641"/>
              <a:ext cx="182880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7</xdr:row>
      <xdr:rowOff>45720</xdr:rowOff>
    </xdr:from>
    <xdr:to>
      <xdr:col>15</xdr:col>
      <xdr:colOff>480060</xdr:colOff>
      <xdr:row>12</xdr:row>
      <xdr:rowOff>53340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9A1F73F5-A08C-0C42-B3CC-068FA7CA35C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115300" y="1325880"/>
              <a:ext cx="2971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2</xdr:row>
      <xdr:rowOff>175261</xdr:rowOff>
    </xdr:from>
    <xdr:to>
      <xdr:col>19</xdr:col>
      <xdr:colOff>495300</xdr:colOff>
      <xdr:row>8</xdr:row>
      <xdr:rowOff>76201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CD83AEC-BA8F-36C4-43CB-A93631B1062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711940" y="541021"/>
              <a:ext cx="182880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4</xdr:row>
      <xdr:rowOff>114300</xdr:rowOff>
    </xdr:from>
    <xdr:to>
      <xdr:col>14</xdr:col>
      <xdr:colOff>83820</xdr:colOff>
      <xdr:row>21</xdr:row>
      <xdr:rowOff>80010</xdr:rowOff>
    </xdr:to>
    <xdr:graphicFrame macro="">
      <xdr:nvGraphicFramePr>
        <xdr:cNvPr id="7" name="Chart 6">
          <a:extLst>
            <a:ext uri="{FF2B5EF4-FFF2-40B4-BE49-F238E27FC236}">
              <a16:creationId xmlns:a16="http://schemas.microsoft.com/office/drawing/2014/main" id="{8BA10149-C838-BF56-503C-A2332FBF2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4</xdr:row>
      <xdr:rowOff>114300</xdr:rowOff>
    </xdr:from>
    <xdr:to>
      <xdr:col>14</xdr:col>
      <xdr:colOff>83820</xdr:colOff>
      <xdr:row>21</xdr:row>
      <xdr:rowOff>80010</xdr:rowOff>
    </xdr:to>
    <xdr:graphicFrame macro="">
      <xdr:nvGraphicFramePr>
        <xdr:cNvPr id="2" name="Chart 1">
          <a:extLst>
            <a:ext uri="{FF2B5EF4-FFF2-40B4-BE49-F238E27FC236}">
              <a16:creationId xmlns:a16="http://schemas.microsoft.com/office/drawing/2014/main" id="{9609898E-448A-4F93-B06B-9FC2F9785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Q" refreshedDate="46024.818825231479" createdVersion="8" refreshedVersion="8" minRefreshableVersion="3" recordCount="1000" xr:uid="{CBB9CFA4-163C-4159-AD8E-61D9C1F8F79A}">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13596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8F9F3C-3EC3-4CB8-8B8E-1136075766D7}"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8" outline="0" subtotalTop="0" showAll="0" defaultSubtotal="0"/>
    <pivotField dataField="1" compact="0" numFmtId="168"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AC4FC-D785-4722-A2FC-70CCD9C8B952}"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8" outline="0" subtotalTop="0" showAll="0" defaultSubtotal="0"/>
    <pivotField dataField="1" compact="0" numFmtId="168"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40EA1-0F44-42E3-9FBA-9B00A825B07E}"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ubtotalTop="0" showAll="0" defaultSubtotal="0"/>
    <pivotField compact="0" numFmtId="166"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7" outline="0" subtotalTop="0" showAll="0" defaultSubtotal="0">
      <items count="4">
        <item x="3"/>
        <item x="1"/>
        <item x="0"/>
        <item x="2"/>
      </items>
    </pivotField>
    <pivotField compact="0" numFmtId="168" outline="0" subtotalTop="0" showAll="0" defaultSubtotal="0"/>
    <pivotField dataField="1" compact="0" numFmtId="168"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5"/>
  </dataFields>
  <chartFormats count="4">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6FD7BF6-2BCF-402A-AE74-7E4C43F53DC4}" sourceName="Size">
  <pivotTables>
    <pivotTable tabId="18" name="TotalSales"/>
    <pivotTable tabId="19" name="TotalSales"/>
    <pivotTable tabId="21" name="TotalSales"/>
  </pivotTables>
  <data>
    <tabular pivotCacheId="141359656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592E518-5535-4ABF-8A4A-ED4923F0679F}" sourceName="Roast Type Name">
  <pivotTables>
    <pivotTable tabId="18" name="TotalSales"/>
    <pivotTable tabId="19" name="TotalSales"/>
    <pivotTable tabId="21" name="TotalSales"/>
  </pivotTables>
  <data>
    <tabular pivotCacheId="14135965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C112E2A-C3AF-4795-BAB9-8F46036E126C}" sourceName="Loyalty Card">
  <pivotTables>
    <pivotTable tabId="18" name="TotalSales"/>
    <pivotTable tabId="19" name="TotalSales"/>
    <pivotTable tabId="21" name="TotalSales"/>
  </pivotTables>
  <data>
    <tabular pivotCacheId="14135965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582020B-FCEE-4461-9D96-846FBC3229AE}" cache="Slicer_Size" caption="Size" columnCount="2" style="Slicer Style 1" rowHeight="274320"/>
  <slicer name="Roast Type Name 1" xr10:uid="{63F331A7-8733-4D0E-B349-6D624CBC7A85}" cache="Slicer_Roast_Type_Name" caption="Roast Type Name" columnCount="3" style="Slicer Style 1" rowHeight="365760"/>
  <slicer name="Loyalty Card 1" xr10:uid="{827C3E9E-47B8-4F4C-8C0C-A8C58E8D3E21}" cache="Slicer_Loyalty_Card" caption="Loyalty Card" style="Slicer Style 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278CDCE-8098-4EDB-8632-18DFC5F8AC6F}" cache="Slicer_Size" caption="Size" columnCount="2" style="Slicer Style 1" rowHeight="234950"/>
  <slicer name="Roast Type Name" xr10:uid="{AED5BC38-175C-40F3-8C20-E38F4A0BCBD4}" cache="Slicer_Roast_Type_Name" caption="Roast Type Name" columnCount="3" style="Slicer Style 1" rowHeight="365760"/>
  <slicer name="Loyalty Card" xr10:uid="{85314C96-C078-49FF-9E69-05EFFD62913E}"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7542A-FB9D-4C69-8825-F2634F2179D9}" name="Orders" displayName="Orders" ref="A1:P1001" totalsRowShown="0" headerRowDxfId="5">
  <autoFilter ref="A1:P1001" xr:uid="{DE67542A-FB9D-4C69-8825-F2634F2179D9}"/>
  <tableColumns count="16">
    <tableColumn id="1" xr3:uid="{6408D072-3786-4A05-9F10-75460CC11497}" name="Order ID" dataDxfId="15"/>
    <tableColumn id="2" xr3:uid="{1D579959-DE17-4716-8F9E-EBAB75486E13}" name="Order Date" dataDxfId="14"/>
    <tableColumn id="3" xr3:uid="{94CAF84E-746D-4D8A-AA8A-97581625ADF5}" name="Customer ID" dataDxfId="13"/>
    <tableColumn id="4" xr3:uid="{578012AF-3B07-4528-A6AB-213D553EE5BD}" name="Product ID"/>
    <tableColumn id="5" xr3:uid="{BC2CF326-507E-4CA8-B80A-4ABA8C977574}" name="Quantity" dataDxfId="12"/>
    <tableColumn id="6" xr3:uid="{F85E78B7-12ED-4494-A9E5-3C780436F2F4}" name="Customer Name" dataDxfId="11">
      <calculatedColumnFormula>_xlfn.XLOOKUP(C2,customers!$A$1:$A$1001,customers!$B$1:$B$1001,,0)</calculatedColumnFormula>
    </tableColumn>
    <tableColumn id="7" xr3:uid="{583ED740-2080-47A0-9D53-D87D1BE4F948}" name="Email" dataDxfId="10">
      <calculatedColumnFormula>IF(_xlfn.XLOOKUP(C2,customers!$A$1:$A$1001,customers!$C$1:$C$1001,,0)=0,"",_xlfn.XLOOKUP(C2,customers!$A$1:$A$1001,customers!$C$1:$C$1001,,0))</calculatedColumnFormula>
    </tableColumn>
    <tableColumn id="8" xr3:uid="{01389475-A886-46BB-95F8-155C53B192AA}" name="Country" dataDxfId="9">
      <calculatedColumnFormula>_xlfn.XLOOKUP(C2,customers!$A$1:$A$1001,customers!$G$1:$G$1001,,0)</calculatedColumnFormula>
    </tableColumn>
    <tableColumn id="9" xr3:uid="{729CDAFB-6C15-462A-BE40-E9A750E62E27}" name="Coffee Type">
      <calculatedColumnFormula>INDEX(products!$A$1:$G$49,MATCH(orders!$D2,products!$A$1:$A$49,0),MATCH(orders!I$1,products!$A$1:$G$1,0))</calculatedColumnFormula>
    </tableColumn>
    <tableColumn id="10" xr3:uid="{7C79E3AE-0D7E-4DE7-813E-F1EC80BD27D7}" name="Roast Type">
      <calculatedColumnFormula>INDEX(products!$A$1:$G$49,MATCH(orders!$D2,products!$A$1:$A$49,0),MATCH(orders!J$1,products!$A$1:$G$1,0))</calculatedColumnFormula>
    </tableColumn>
    <tableColumn id="11" xr3:uid="{8D0D9583-4451-4BD2-866D-4C5D11121F27}" name="Size" dataDxfId="8">
      <calculatedColumnFormula>INDEX(products!$A$1:$G$49,MATCH(orders!$D2,products!$A$1:$A$49,0),MATCH(orders!K$1,products!$A$1:$G$1,0))</calculatedColumnFormula>
    </tableColumn>
    <tableColumn id="12" xr3:uid="{85F87426-83B3-41D7-BC55-C94BF7B9BE0C}" name="Unit Price" dataDxfId="7">
      <calculatedColumnFormula>INDEX(products!$A$1:$G$49,MATCH(orders!$D2,products!$A$1:$A$49,0),MATCH(orders!L$1,products!$A$1:$G$1,0))</calculatedColumnFormula>
    </tableColumn>
    <tableColumn id="13" xr3:uid="{57CDE95B-F36D-4979-87AE-A3582D7CCB6F}" name="Sales" dataDxfId="6">
      <calculatedColumnFormula>L2*E2</calculatedColumnFormula>
    </tableColumn>
    <tableColumn id="14" xr3:uid="{2E487302-2FD8-4BEA-B301-5A611000A351}" name="Coffee Type Name">
      <calculatedColumnFormula array="1">_xlfn.IFS(I2="Rob","Robusta",I2="Exc","Excelsa",I2="Ara","Arabica",I2="Lib","Liberica")</calculatedColumnFormula>
    </tableColumn>
    <tableColumn id="15" xr3:uid="{E3FADC66-3086-44F9-9A9E-CE8A524B1BBE}" name="Roast Type Name">
      <calculatedColumnFormula array="1">_xlfn.IFS(J2="M","Medium",J2="L","Light",J2="D","Dark")</calculatedColumnFormula>
    </tableColumn>
    <tableColumn id="16" xr3:uid="{87C4597A-0C08-4089-96EE-253FBEEFD030}"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DD81AD9-2092-41A9-B30E-1D7A50AC9AA0}" sourceName="Order Date">
  <pivotTables>
    <pivotTable tabId="18" name="TotalSales"/>
    <pivotTable tabId="19" name="TotalSales"/>
    <pivotTable tabId="21" name="TotalSales"/>
  </pivotTables>
  <state minimalRefreshVersion="6" lastRefreshVersion="6" pivotCacheId="141359656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2824678-454C-4284-82E4-DFAFC1041C56}" cache="NativeTimeline_Order_Date" caption="Order Date" level="2" selectionLevel="2" scrollPosition="2019-01-01T00:00:00" style="our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691900-1A7D-401E-9E7E-FD9F6C03524E}" cache="NativeTimeline_Order_Date" caption="Order Date" level="2" selectionLevel="2" scrollPosition="2019-01-01T00:00:00" style="our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0EC92-9DE1-4500-B169-7C1D0BE4C943}">
  <dimension ref="A1"/>
  <sheetViews>
    <sheetView showGridLines="0" showRowColHeaders="0" tabSelected="1" zoomScale="75" zoomScaleNormal="75" workbookViewId="0">
      <selection activeCell="G47" sqref="G47"/>
    </sheetView>
  </sheetViews>
  <sheetFormatPr defaultRowHeight="14.4" x14ac:dyDescent="0.3"/>
  <cols>
    <col min="1" max="1" width="1.77734375" style="9" customWidth="1"/>
    <col min="2" max="16384" width="8.88671875" style="9"/>
  </cols>
  <sheetData>
    <row r="1" s="9"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358C-AA33-4316-A3FE-907A704EF84A}">
  <dimension ref="A3:F48"/>
  <sheetViews>
    <sheetView topLeftCell="D1" workbookViewId="0">
      <selection activeCell="S22" sqref="S22"/>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DB05-369E-415A-8827-A33AE42E1F69}">
  <dimension ref="A3:B6"/>
  <sheetViews>
    <sheetView zoomScaleNormal="100" workbookViewId="0">
      <selection activeCell="H24" sqref="H24"/>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133E-9940-4762-BE24-1C018156C38A}">
  <dimension ref="A3:B8"/>
  <sheetViews>
    <sheetView zoomScaleNormal="100" workbookViewId="0">
      <selection activeCell="Q10" sqref="Q10"/>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 x14ac:dyDescent="0.3"/>
  <cols>
    <col min="1" max="1" width="16.5546875" bestFit="1" customWidth="1"/>
    <col min="2" max="2" width="12.1093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109375"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_xlfn.IFS(J2="M","Medium",J2="L","Light",J2="D","Dark")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_xlfn.IFS(J3="M","Medium",J3="L","Light",J3="D","Dark")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5" workbookViewId="0">
      <selection activeCell="L979" sqref="L978:L97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 Chart</vt:lpstr>
      <vt:lpstr>Sales by Country</vt:lpstr>
      <vt:lpstr>Sales by 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ZAIN AL-ABDEEN ALI</cp:lastModifiedBy>
  <cp:revision/>
  <dcterms:created xsi:type="dcterms:W3CDTF">2022-11-26T09:51:45Z</dcterms:created>
  <dcterms:modified xsi:type="dcterms:W3CDTF">2026-01-03T02:14:48Z</dcterms:modified>
  <cp:category/>
  <cp:contentStatus/>
</cp:coreProperties>
</file>